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o" sheetId="1" r:id="rId1"/>
    <sheet name="Rotina" sheetId="2" r:id="rId2"/>
    <sheet name="Ritmos" sheetId="3" r:id="rId3"/>
    <sheet name="Glossário" sheetId="4" r:id="rId4"/>
    <sheet name="Progresso" sheetId="5" r:id="rId5"/>
  </sheets>
  <calcPr fullCalcOnLoad="1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1"/>
      <name val="Arial"/>
    </font>
    <font>
      <b/>
      <sz val="14"/>
      <name val="Arial"/>
    </font>
    <font>
      <sz val="10"/>
      <color rgb="FF666666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0" fillId="0" borderId="0" xfId="0" applyAlignment="true">
      <alignment vertical="top" wrapText="true"/>
    </xf>
    <xf numFmtId="0" fontId="2" fillId="0" borderId="0" xfId="0" applyFont="true"/>
    <xf numFmtId="0" fontId="3" fillId="0" borderId="0" xfId="0" applyFont="true"/>
    <xf numFmtId="0" fontId="1" fillId="2" borderId="0" xfId="0" applyFont="true" applyFill="true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false" workbookViewId="0">
      <pane ySplit="4" topLeftCell="A5" activePane="bottomLeft" state="frozen"/>
    </sheetView>
  </sheetViews>
  <sheetFormatPr defaultRowHeight="15"/>
  <cols>
    <col min="1" max="1" width="8" customWidth="true"/>
    <col min="2" max="2" width="15" customWidth="true"/>
    <col min="3" max="3" width="22" customWidth="true"/>
    <col min="4" max="4" width="26" customWidth="true"/>
    <col min="5" max="5" width="26" customWidth="true"/>
    <col min="6" max="6" width="26" customWidth="true"/>
    <col min="7" max="7" width="26" customWidth="true"/>
    <col min="8" max="8" width="26" customWidth="true"/>
    <col min="9" max="9" width="12" customWidth="true"/>
    <col min="10" max="10" width="12" customWidth="true"/>
    <col min="11" max="11" width="9" customWidth="true"/>
  </cols>
  <sheetData>
    <row r="1">
      <c r="A1" s="3" t="inlineStr">
        <is>
          <t xml:space="preserve">PLANO DE TREINO</t>
        </is>
      </c>
    </row>
    <row r="2">
      <c r="A2" s="4" t="inlineStr">
        <is>
          <t xml:space="preserve">40 semanas até a maratona. Modalidade de cada dia na aba Rotina, ritmos na aba Ritmos, siglas na aba Glossário.</t>
        </is>
      </c>
    </row>
    <row r="4">
      <c r="A4" s="1" t="inlineStr">
        <is>
          <t xml:space="preserve">Semana</t>
        </is>
      </c>
      <c r="B4" s="1" t="inlineStr">
        <is>
          <t xml:space="preserve">Fase</t>
        </is>
      </c>
      <c r="C4" s="1" t="inlineStr">
        <is>
          <t xml:space="preserve">Segunda</t>
        </is>
      </c>
      <c r="D4" s="1" t="inlineStr">
        <is>
          <t xml:space="preserve">Terça</t>
        </is>
      </c>
      <c r="E4" s="1" t="inlineStr">
        <is>
          <t xml:space="preserve">Quarta</t>
        </is>
      </c>
      <c r="F4" s="1" t="inlineStr">
        <is>
          <t xml:space="preserve">Quinta</t>
        </is>
      </c>
      <c r="G4" s="1" t="inlineStr">
        <is>
          <t xml:space="preserve">Sexta</t>
        </is>
      </c>
      <c r="H4" s="1" t="inlineStr">
        <is>
          <t xml:space="preserve">Sábado</t>
        </is>
      </c>
      <c r="I4" s="1" t="inlineStr">
        <is>
          <t xml:space="preserve">Domingo</t>
        </is>
      </c>
      <c r="J4" s="1" t="inlineStr">
        <is>
          <t xml:space="preserve">Longão (km)</t>
        </is>
      </c>
      <c r="K4" s="1" t="inlineStr">
        <is>
          <t xml:space="preserve">Feita?</t>
        </is>
      </c>
    </row>
    <row r="5">
      <c r="A5">
        <v>1</v>
      </c>
      <c r="B5" t="inlineStr">
        <is>
          <t xml:space="preserve">Adaptação</t>
        </is>
      </c>
      <c r="D5" s="2" t="inlineStr">
        <is>
          <t xml:space="preserve">~35 min W:10min R:3K W:5min</t>
        </is>
      </c>
      <c r="E5" s="2" t="inlineStr">
        <is>
          <t xml:space="preserve">10 min Leve
8 min Tempo
7 min Leve</t>
        </is>
      </c>
      <c r="F5" s="2" t="inlineStr">
        <is>
          <t xml:space="preserve">~35 min W:10min R:3K W:5min</t>
        </is>
      </c>
      <c r="G5" s="2" t="inlineStr">
        <is>
          <t xml:space="preserve">10 min Leve
10 min Tempo
5 min Leve</t>
        </is>
      </c>
      <c r="H5" s="2" t="inlineStr">
        <is>
          <t xml:space="preserve">~40 min W:10min R:4K W:5min</t>
        </is>
      </c>
      <c r="I5" s="2" t="inlineStr">
        <is>
          <t xml:space="preserve">Descanso</t>
        </is>
      </c>
      <c r="J5">
        <v>4</v>
      </c>
      <c r="K5" t="inlineStr">
        <is>
          <t xml:space="preserve">Sim</t>
        </is>
      </c>
    </row>
    <row r="6">
      <c r="A6">
        <v>2</v>
      </c>
      <c r="B6" t="inlineStr">
        <is>
          <t xml:space="preserve">Adaptação</t>
        </is>
      </c>
      <c r="D6" s="2" t="inlineStr">
        <is>
          <t xml:space="preserve">~40 min W:10min R:3K W:10min</t>
        </is>
      </c>
      <c r="E6" s="2" t="inlineStr">
        <is>
          <t xml:space="preserve">10 min Leve
2 x (2 min Forte, 2 min Leve)
5 min Leve</t>
        </is>
      </c>
      <c r="F6" s="2" t="inlineStr">
        <is>
          <t xml:space="preserve">~40 min W:10min R:3K W:10min</t>
        </is>
      </c>
      <c r="G6" s="2" t="inlineStr">
        <is>
          <t xml:space="preserve">10 min Leve
14 min Tempo
6 min Leve</t>
        </is>
      </c>
      <c r="H6" s="2" t="inlineStr">
        <is>
          <t xml:space="preserve">~45 min W:10min R:5K W:5min</t>
        </is>
      </c>
      <c r="I6" s="2" t="inlineStr">
        <is>
          <t xml:space="preserve">Descanso</t>
        </is>
      </c>
      <c r="J6">
        <v>5</v>
      </c>
      <c r="K6" t="inlineStr">
        <is>
          <t xml:space="preserve">Sim</t>
        </is>
      </c>
    </row>
    <row r="7">
      <c r="A7">
        <v>3</v>
      </c>
      <c r="B7" t="inlineStr">
        <is>
          <t xml:space="preserve">Adaptação</t>
        </is>
      </c>
      <c r="D7" s="2" t="inlineStr">
        <is>
          <t xml:space="preserve">~40 min W:10min R:3K W:10min</t>
        </is>
      </c>
      <c r="E7" s="2" t="inlineStr">
        <is>
          <t xml:space="preserve">20 min Tempo, aumentando o esforço gradualmente do min 5 ao min 20</t>
        </is>
      </c>
      <c r="F7" s="2" t="inlineStr">
        <is>
          <t xml:space="preserve">~40 min W:10min R:3K W:10min</t>
        </is>
      </c>
      <c r="G7" s="2" t="inlineStr">
        <is>
          <t xml:space="preserve">5 min Leve
15 min Tempo
5 min Leve</t>
        </is>
      </c>
      <c r="H7" s="2" t="inlineStr">
        <is>
          <t xml:space="preserve">~45 min W:10min R:5K W:5min</t>
        </is>
      </c>
      <c r="I7" s="2" t="inlineStr">
        <is>
          <t xml:space="preserve">Descanso</t>
        </is>
      </c>
      <c r="J7">
        <v>5</v>
      </c>
      <c r="K7" t="inlineStr">
        <is>
          <t xml:space="preserve">Sim</t>
        </is>
      </c>
    </row>
    <row r="8">
      <c r="A8">
        <v>4</v>
      </c>
      <c r="B8" t="inlineStr">
        <is>
          <t xml:space="preserve">Base</t>
        </is>
      </c>
      <c r="D8" s="2" t="inlineStr">
        <is>
          <t xml:space="preserve">Aquecimento 10 min
2 x 400 (RI)
Desaquecimento 10 min</t>
        </is>
      </c>
      <c r="E8" s="2" t="inlineStr">
        <is>
          <t xml:space="preserve">10 min Leve
2 x (1 min Forte, 3 min Leve)
5 min Leve</t>
        </is>
      </c>
      <c r="F8" s="2" t="inlineStr">
        <is>
          <t xml:space="preserve">1,5 km aquecimento
1,5 km Tempo curto (ST)
1,5 km desaquecimento</t>
        </is>
      </c>
      <c r="G8" s="2" t="inlineStr">
        <is>
          <t xml:space="preserve">10 min Leve
5 min Tempo
5 min Leve
5 min Forte
5 min Leve</t>
        </is>
      </c>
      <c r="H8" s="2" t="inlineStr">
        <is>
          <t xml:space="preserve">5 km em MT</t>
        </is>
      </c>
      <c r="I8" s="2" t="inlineStr">
        <is>
          <t xml:space="preserve">Descanso</t>
        </is>
      </c>
      <c r="J8">
        <v>5</v>
      </c>
      <c r="K8" t="inlineStr">
        <is>
          <t xml:space="preserve">Sim</t>
        </is>
      </c>
    </row>
    <row r="9">
      <c r="A9">
        <v>5</v>
      </c>
      <c r="B9" t="inlineStr">
        <is>
          <t xml:space="preserve">Base</t>
        </is>
      </c>
      <c r="D9" s="2" t="inlineStr">
        <is>
          <t xml:space="preserve">Aquecimento 10 min
3 x 400 (RI)
Desaquecimento 10 min</t>
        </is>
      </c>
      <c r="E9" s="2" t="inlineStr">
        <is>
          <t xml:space="preserve">8 min Leve
15 min Tempo
7 min Leve</t>
        </is>
      </c>
      <c r="F9" s="2" t="inlineStr">
        <is>
          <t xml:space="preserve">1,5 km aquecimento
1,5 km Tempo curto (ST)
1,5 km desaquecimento</t>
        </is>
      </c>
      <c r="G9" s="2" t="inlineStr">
        <is>
          <t xml:space="preserve">10 min Leve
5 x (1 min Forte, 4 min Leve)
5 min Leve</t>
        </is>
      </c>
      <c r="H9" s="2" t="inlineStr">
        <is>
          <t xml:space="preserve">5 km em MT</t>
        </is>
      </c>
      <c r="I9" s="2" t="inlineStr">
        <is>
          <t xml:space="preserve">Descanso</t>
        </is>
      </c>
      <c r="J9">
        <v>5</v>
      </c>
      <c r="K9" t="inlineStr">
        <is>
          <t xml:space="preserve">Sim</t>
        </is>
      </c>
    </row>
    <row r="10">
      <c r="A10">
        <v>6</v>
      </c>
      <c r="B10" t="inlineStr">
        <is>
          <t xml:space="preserve">Base</t>
        </is>
      </c>
      <c r="D10" s="2" t="inlineStr">
        <is>
          <t xml:space="preserve">Aquecimento 10 min
4 x 400 (RI)
Desaquecimento 10 min</t>
        </is>
      </c>
      <c r="E10" s="2" t="inlineStr">
        <is>
          <t xml:space="preserve">10 min Leve
10 min Tempo
5 min Leve
10 min Tempo
5 min Leve</t>
        </is>
      </c>
      <c r="F10" s="2" t="inlineStr">
        <is>
          <t xml:space="preserve">1,5 km aquecimento
1,5 km Tempo curto (ST)
1,5 km desaquecimento</t>
        </is>
      </c>
      <c r="G10" s="2" t="inlineStr">
        <is>
          <t xml:space="preserve">10 min Leve
8 min Forte
5 min Leve
7 min Forte
5 min Leve</t>
        </is>
      </c>
      <c r="H10" s="2" t="inlineStr">
        <is>
          <t xml:space="preserve">6 km em MT</t>
        </is>
      </c>
      <c r="I10" s="2" t="inlineStr">
        <is>
          <t xml:space="preserve">Descanso</t>
        </is>
      </c>
      <c r="J10">
        <v>6</v>
      </c>
      <c r="K10" t="inlineStr">
        <is>
          <t xml:space="preserve">Sim</t>
        </is>
      </c>
    </row>
    <row r="11">
      <c r="A11">
        <v>7</v>
      </c>
      <c r="B11" t="inlineStr">
        <is>
          <t xml:space="preserve">Base</t>
        </is>
      </c>
      <c r="D11" s="2" t="inlineStr">
        <is>
          <t xml:space="preserve">Aquecimento 10 min
2 x 400, 1 x 800 (RI)
Desaquecimento 10 min</t>
        </is>
      </c>
      <c r="E11" s="2" t="inlineStr">
        <is>
          <t xml:space="preserve">10 min Leve
2 x (10 min Tempo, ~800 m em MP)
5 min Leve</t>
        </is>
      </c>
      <c r="F11" s="2" t="inlineStr">
        <is>
          <t xml:space="preserve">1,5 km aquecimento
2 km Tempo curto (ST)
1,5 km desaquecimento</t>
        </is>
      </c>
      <c r="G11" s="2" t="inlineStr">
        <is>
          <t xml:space="preserve">25 min Tempo, aumentando o esforço gradualmente do min 5 ao min 20</t>
        </is>
      </c>
      <c r="H11" s="2" t="inlineStr">
        <is>
          <t xml:space="preserve">6 km em MT</t>
        </is>
      </c>
      <c r="I11" s="2" t="inlineStr">
        <is>
          <t xml:space="preserve">Descanso</t>
        </is>
      </c>
      <c r="J11">
        <v>6</v>
      </c>
      <c r="K11" t="inlineStr">
        <is>
          <t xml:space="preserve">Sim</t>
        </is>
      </c>
    </row>
    <row r="12">
      <c r="A12">
        <v>8</v>
      </c>
      <c r="B12" t="inlineStr">
        <is>
          <t xml:space="preserve">Base</t>
        </is>
      </c>
      <c r="D12" s="2" t="inlineStr">
        <is>
          <t xml:space="preserve">Aquecimento 10 min
400, 600, 800 (RI)
Desaquecimento 10 min</t>
        </is>
      </c>
      <c r="E12" s="2" t="inlineStr">
        <is>
          <t xml:space="preserve">10 min Leve
6 x (1 min Forte, 4 min Leve)
5 min Leve</t>
        </is>
      </c>
      <c r="F12" s="2" t="inlineStr">
        <is>
          <t xml:space="preserve">1,5 km aquecimento
2 km Tempo curto (ST)
1,5 km desaquecimento</t>
        </is>
      </c>
      <c r="G12" s="2" t="inlineStr">
        <is>
          <t xml:space="preserve">10 min Leve
10 min Tempo
10 min Leve
5 min Forte
5 min Leve</t>
        </is>
      </c>
      <c r="H12" s="2" t="inlineStr">
        <is>
          <t xml:space="preserve">7 km em MT</t>
        </is>
      </c>
      <c r="I12" s="2" t="inlineStr">
        <is>
          <t xml:space="preserve">Descanso</t>
        </is>
      </c>
      <c r="J12">
        <v>7</v>
      </c>
      <c r="K12" t="inlineStr">
        <is>
          <t xml:space="preserve">Não</t>
        </is>
      </c>
    </row>
    <row r="13">
      <c r="A13">
        <v>9</v>
      </c>
      <c r="B13" t="inlineStr">
        <is>
          <t xml:space="preserve">Base</t>
        </is>
      </c>
      <c r="D13" s="2" t="inlineStr">
        <is>
          <t xml:space="preserve">Aquecimento 10 min
5 x 400 (RI)
Desaquecimento 10 min</t>
        </is>
      </c>
      <c r="E13" s="2" t="inlineStr">
        <is>
          <t xml:space="preserve">10 min Leve
30 min Tempo, seguido imediatamente de 10 min Leve</t>
        </is>
      </c>
      <c r="F13" s="2" t="inlineStr">
        <is>
          <t xml:space="preserve">1,5 km aquecimento
1,5 km Tempo curto (ST)
1,5 km desaquecimento</t>
        </is>
      </c>
      <c r="G13" s="2" t="inlineStr">
        <is>
          <t xml:space="preserve">30 min Leve</t>
        </is>
      </c>
      <c r="H13" s="2" t="inlineStr">
        <is>
          <t xml:space="preserve">7 km em MT</t>
        </is>
      </c>
      <c r="I13" s="2" t="inlineStr">
        <is>
          <t xml:space="preserve">Descanso</t>
        </is>
      </c>
      <c r="J13">
        <v>7</v>
      </c>
      <c r="K13" t="inlineStr">
        <is>
          <t xml:space="preserve">Não</t>
        </is>
      </c>
    </row>
    <row r="14">
      <c r="A14">
        <v>10</v>
      </c>
      <c r="B14" t="inlineStr">
        <is>
          <t xml:space="preserve">Base</t>
        </is>
      </c>
      <c r="D14" s="2" t="inlineStr">
        <is>
          <t xml:space="preserve">Aquecimento 10 min
400, 2 x 800 (RI)
Desaquecimento 10 min</t>
        </is>
      </c>
      <c r="E14" s="2" t="inlineStr">
        <is>
          <t xml:space="preserve">10 min Leve
30 min Tempo
5 min Leve</t>
        </is>
      </c>
      <c r="F14" s="2" t="inlineStr">
        <is>
          <t xml:space="preserve">1,5 km aquecimento
2 km Tempo curto (ST)
1,5 km desaquecimento</t>
        </is>
      </c>
      <c r="G14" s="2" t="inlineStr">
        <is>
          <t xml:space="preserve">10 min Leve
2 x (2 min Tempo, 2 min Leve)
5 min Leve</t>
        </is>
      </c>
      <c r="H14" s="2" t="inlineStr">
        <is>
          <t xml:space="preserve">7,5 km em MT</t>
        </is>
      </c>
      <c r="I14" s="2" t="inlineStr">
        <is>
          <t xml:space="preserve">Descanso</t>
        </is>
      </c>
      <c r="J14">
        <v>7.5</v>
      </c>
      <c r="K14" t="inlineStr">
        <is>
          <t xml:space="preserve">Não</t>
        </is>
      </c>
    </row>
    <row r="15">
      <c r="A15">
        <v>11</v>
      </c>
      <c r="B15" t="inlineStr">
        <is>
          <t xml:space="preserve">Base</t>
        </is>
      </c>
      <c r="D15" s="2" t="inlineStr">
        <is>
          <t xml:space="preserve">Aquecimento 10 min
2 x 1000 (RI)
Desaquecimento 10 min</t>
        </is>
      </c>
      <c r="E15" s="2" t="inlineStr">
        <is>
          <t xml:space="preserve">10 min Leve
20 min Tempo
10 min Leve</t>
        </is>
      </c>
      <c r="F15" s="2" t="inlineStr">
        <is>
          <t xml:space="preserve">1,5 km aquecimento
3 km Tempo curto (ST)
1,5 km desaquecimento</t>
        </is>
      </c>
      <c r="G15" s="2" t="inlineStr">
        <is>
          <t xml:space="preserve">30 min Leve</t>
        </is>
      </c>
      <c r="H15" s="2" t="inlineStr">
        <is>
          <t xml:space="preserve">7,5 km em MT</t>
        </is>
      </c>
      <c r="I15" s="2" t="inlineStr">
        <is>
          <t xml:space="preserve">Descanso</t>
        </is>
      </c>
      <c r="J15">
        <v>7.5</v>
      </c>
      <c r="K15" t="inlineStr">
        <is>
          <t xml:space="preserve">Não</t>
        </is>
      </c>
    </row>
    <row r="16">
      <c r="A16">
        <v>12</v>
      </c>
      <c r="B16" t="inlineStr">
        <is>
          <t xml:space="preserve">Base</t>
        </is>
      </c>
      <c r="D16" s="2" t="inlineStr">
        <is>
          <t xml:space="preserve">Aquecimento 10 min
6 x 400 (RI)
Desaquecimento 10 min</t>
        </is>
      </c>
      <c r="E16" s="2" t="inlineStr">
        <is>
          <t xml:space="preserve">10 min Leve
8 min Tempo
7 min Leve</t>
        </is>
      </c>
      <c r="F16" s="2" t="inlineStr">
        <is>
          <t xml:space="preserve">1,5 km aquecimento
3 km Tempo curto (ST)
1,5 km desaquecimento</t>
        </is>
      </c>
      <c r="G16" s="2" t="inlineStr">
        <is>
          <t xml:space="preserve">10 min Leve
10 min Tempo
5 min Leve</t>
        </is>
      </c>
      <c r="H16" s="2" t="inlineStr">
        <is>
          <t xml:space="preserve">8 km em LT</t>
        </is>
      </c>
      <c r="I16" s="2" t="inlineStr">
        <is>
          <t xml:space="preserve">Descanso</t>
        </is>
      </c>
      <c r="J16">
        <v>8</v>
      </c>
      <c r="K16" t="inlineStr">
        <is>
          <t xml:space="preserve">Não</t>
        </is>
      </c>
    </row>
    <row r="17">
      <c r="A17">
        <v>13</v>
      </c>
      <c r="B17" t="inlineStr">
        <is>
          <t xml:space="preserve">Base</t>
        </is>
      </c>
      <c r="D17" s="2" t="inlineStr">
        <is>
          <t xml:space="preserve">Aquecimento 10 min
3 x 800 (RI)
Desaquecimento 10 min</t>
        </is>
      </c>
      <c r="E17" s="2" t="inlineStr">
        <is>
          <t xml:space="preserve">10 min Leve
2 x (2 min Forte, 2 min Leve)
5 min Leve</t>
        </is>
      </c>
      <c r="F17" s="2" t="inlineStr">
        <is>
          <t xml:space="preserve">1,5 km aquecimento
3 km Tempo curto (ST)
1,5 km desaquecimento</t>
        </is>
      </c>
      <c r="G17" s="2" t="inlineStr">
        <is>
          <t xml:space="preserve">10 min Leve
14 min Tempo
6 min Leve</t>
        </is>
      </c>
      <c r="H17" s="2" t="inlineStr">
        <is>
          <t xml:space="preserve">8 km em LT</t>
        </is>
      </c>
      <c r="I17" s="2" t="inlineStr">
        <is>
          <t xml:space="preserve">Descanso</t>
        </is>
      </c>
      <c r="J17">
        <v>8</v>
      </c>
      <c r="K17" t="inlineStr">
        <is>
          <t xml:space="preserve">Não</t>
        </is>
      </c>
    </row>
    <row r="18">
      <c r="A18">
        <v>14</v>
      </c>
      <c r="B18" t="inlineStr">
        <is>
          <t xml:space="preserve">Desenvolvimento</t>
        </is>
      </c>
      <c r="D18" s="2" t="inlineStr">
        <is>
          <t xml:space="preserve">5 x 800 (400 RI)</t>
        </is>
      </c>
      <c r="E18" s="2" t="inlineStr">
        <is>
          <t xml:space="preserve">20 min Tempo, aumentando o esforço gradualmente do min 5 ao min 20</t>
        </is>
      </c>
      <c r="F18" s="2" t="inlineStr">
        <is>
          <t xml:space="preserve">5 km em ST</t>
        </is>
      </c>
      <c r="G18" s="2" t="inlineStr">
        <is>
          <t xml:space="preserve">5 min Leve
15 min Tempo
5 min Leve</t>
        </is>
      </c>
      <c r="H18" s="2" t="inlineStr">
        <is>
          <t xml:space="preserve">10 km em LT</t>
        </is>
      </c>
      <c r="I18" s="2" t="inlineStr">
        <is>
          <t xml:space="preserve">Descanso</t>
        </is>
      </c>
      <c r="J18">
        <v>10</v>
      </c>
      <c r="K18" t="inlineStr">
        <is>
          <t xml:space="preserve">Não</t>
        </is>
      </c>
    </row>
    <row r="19">
      <c r="A19">
        <v>15</v>
      </c>
      <c r="B19" t="inlineStr">
        <is>
          <t xml:space="preserve">Desenvolvimento</t>
        </is>
      </c>
      <c r="D19" s="2" t="inlineStr">
        <is>
          <t xml:space="preserve">2 x 1600 (400 RI), 1 x 800 (400 RI)</t>
        </is>
      </c>
      <c r="E19" s="2" t="inlineStr">
        <is>
          <t xml:space="preserve">10 min Leve
2 x (1 min Forte, 3 min Leve)
5 min Leve</t>
        </is>
      </c>
      <c r="F19" s="2" t="inlineStr">
        <is>
          <t xml:space="preserve">3 km ST, 1,5 km Leve, 3 km ST</t>
        </is>
      </c>
      <c r="G19" s="2" t="inlineStr">
        <is>
          <t xml:space="preserve">10 min Leve
5 min Tempo
5 min Leve
5 min Forte
5 min Leve</t>
        </is>
      </c>
      <c r="H19" s="2" t="inlineStr">
        <is>
          <t xml:space="preserve">8 km em LT</t>
        </is>
      </c>
      <c r="I19" s="2" t="inlineStr">
        <is>
          <t xml:space="preserve">Descanso</t>
        </is>
      </c>
      <c r="J19">
        <v>8</v>
      </c>
      <c r="K19" t="inlineStr">
        <is>
          <t xml:space="preserve">Não</t>
        </is>
      </c>
    </row>
    <row r="20">
      <c r="A20">
        <v>16</v>
      </c>
      <c r="B20" t="inlineStr">
        <is>
          <t xml:space="preserve">Desenvolvimento</t>
        </is>
      </c>
      <c r="D20" s="2" t="inlineStr">
        <is>
          <t xml:space="preserve">400, 600, 800, 800, 600, 400 (400 RI)</t>
        </is>
      </c>
      <c r="E20" s="2" t="inlineStr">
        <is>
          <t xml:space="preserve">8 min Leve
15 min Tempo
7 min Leve</t>
        </is>
      </c>
      <c r="F20" s="2" t="inlineStr">
        <is>
          <t xml:space="preserve">6,5 km em MT</t>
        </is>
      </c>
      <c r="G20" s="2" t="inlineStr">
        <is>
          <t xml:space="preserve">10 min Leve
5 x (1 min Forte, 4 min Leve)
5 min Leve</t>
        </is>
      </c>
      <c r="H20" s="2" t="inlineStr">
        <is>
          <t xml:space="preserve">10 km em LT</t>
        </is>
      </c>
      <c r="I20" s="2" t="inlineStr">
        <is>
          <t xml:space="preserve">Descanso</t>
        </is>
      </c>
      <c r="J20">
        <v>10</v>
      </c>
      <c r="K20" t="inlineStr">
        <is>
          <t xml:space="preserve">Não</t>
        </is>
      </c>
    </row>
    <row r="21">
      <c r="A21">
        <v>17</v>
      </c>
      <c r="B21" t="inlineStr">
        <is>
          <t xml:space="preserve">Desenvolvimento</t>
        </is>
      </c>
      <c r="D21" s="2" t="inlineStr">
        <is>
          <t xml:space="preserve">4 x 1000 (400 RI)</t>
        </is>
      </c>
      <c r="E21" s="2" t="inlineStr">
        <is>
          <t xml:space="preserve">10 min Leve
10 min Tempo
5 min Leve
10 min Tempo
5 min Leve</t>
        </is>
      </c>
      <c r="F21" s="2" t="inlineStr">
        <is>
          <t xml:space="preserve">5 km em ST</t>
        </is>
      </c>
      <c r="G21" s="2" t="inlineStr">
        <is>
          <t xml:space="preserve">10 min Leve
8 min Forte
5 min Leve
7 min Forte
5 min Leve</t>
        </is>
      </c>
      <c r="H21" s="2" t="inlineStr">
        <is>
          <t xml:space="preserve">11 km em LT</t>
        </is>
      </c>
      <c r="I21" s="2" t="inlineStr">
        <is>
          <t xml:space="preserve">Descanso</t>
        </is>
      </c>
      <c r="J21">
        <v>11</v>
      </c>
      <c r="K21" t="inlineStr">
        <is>
          <t xml:space="preserve">Não</t>
        </is>
      </c>
    </row>
    <row r="22">
      <c r="A22">
        <v>18</v>
      </c>
      <c r="B22" t="inlineStr">
        <is>
          <t xml:space="preserve">Desenvolvimento</t>
        </is>
      </c>
      <c r="D22" s="2" t="inlineStr">
        <is>
          <t xml:space="preserve">1600, 1200, 800, 400 (400 RI)</t>
        </is>
      </c>
      <c r="E22" s="2" t="inlineStr">
        <is>
          <t xml:space="preserve">10 min Leve
2 x (10 min Tempo, ~800 m em MP)
5 min Leve</t>
        </is>
      </c>
      <c r="F22" s="2" t="inlineStr">
        <is>
          <t xml:space="preserve">1,5 km ST, 1,5 km Leve, 1,5 km ST, 1,5 km Leve, 1,5 km ST</t>
        </is>
      </c>
      <c r="G22" s="2" t="inlineStr">
        <is>
          <t xml:space="preserve">25 min Tempo, aumentando o esforço gradualmente do min 5 ao min 20</t>
        </is>
      </c>
      <c r="H22" s="2" t="inlineStr">
        <is>
          <t xml:space="preserve">10 km em LT</t>
        </is>
      </c>
      <c r="I22" s="2" t="inlineStr">
        <is>
          <t xml:space="preserve">Descanso</t>
        </is>
      </c>
      <c r="J22">
        <v>10</v>
      </c>
      <c r="K22" t="inlineStr">
        <is>
          <t xml:space="preserve">Não</t>
        </is>
      </c>
    </row>
    <row r="23">
      <c r="A23">
        <v>19</v>
      </c>
      <c r="B23" t="inlineStr">
        <is>
          <t xml:space="preserve">Desenvolvimento</t>
        </is>
      </c>
      <c r="D23" s="2" t="inlineStr">
        <is>
          <t xml:space="preserve">10 x 400 (90 s RI)</t>
        </is>
      </c>
      <c r="E23" s="2" t="inlineStr">
        <is>
          <t xml:space="preserve">10 min Leve
6 x (1 min Forte, 4 min Leve)
5 min Leve</t>
        </is>
      </c>
      <c r="F23" s="2" t="inlineStr">
        <is>
          <t xml:space="preserve">7 km em MT</t>
        </is>
      </c>
      <c r="G23" s="2" t="inlineStr">
        <is>
          <t xml:space="preserve">10 min Leve
10 min Tempo
10 min Leve
5 min Forte
5 min Leve</t>
        </is>
      </c>
      <c r="H23" s="2" t="inlineStr">
        <is>
          <t xml:space="preserve">13 km em LT</t>
        </is>
      </c>
      <c r="I23" s="2" t="inlineStr">
        <is>
          <t xml:space="preserve">Descanso</t>
        </is>
      </c>
      <c r="J23">
        <v>13</v>
      </c>
      <c r="K23" t="inlineStr">
        <is>
          <t xml:space="preserve">Não</t>
        </is>
      </c>
    </row>
    <row r="24">
      <c r="A24">
        <v>20</v>
      </c>
      <c r="B24" t="inlineStr">
        <is>
          <t xml:space="preserve">Desenvolvimento</t>
        </is>
      </c>
      <c r="D24" s="2" t="inlineStr">
        <is>
          <t xml:space="preserve">6 x 800 (90 s RI)</t>
        </is>
      </c>
      <c r="E24" s="2" t="inlineStr">
        <is>
          <t xml:space="preserve">10 min Leve
30 min Tempo, seguido imediatamente de 10 min Leve</t>
        </is>
      </c>
      <c r="F24" s="2" t="inlineStr">
        <is>
          <t xml:space="preserve">3 km ST, 1,5 km Leve, 3 km ST</t>
        </is>
      </c>
      <c r="G24" s="2" t="inlineStr">
        <is>
          <t xml:space="preserve">30 min Leve</t>
        </is>
      </c>
      <c r="H24" s="2" t="inlineStr">
        <is>
          <t xml:space="preserve">11 km em LT</t>
        </is>
      </c>
      <c r="I24" s="2" t="inlineStr">
        <is>
          <t xml:space="preserve">Descanso</t>
        </is>
      </c>
      <c r="J24">
        <v>11</v>
      </c>
      <c r="K24" t="inlineStr">
        <is>
          <t xml:space="preserve">Não</t>
        </is>
      </c>
    </row>
    <row r="25">
      <c r="A25">
        <v>21</v>
      </c>
      <c r="B25" t="inlineStr">
        <is>
          <t xml:space="preserve">Desenvolvimento</t>
        </is>
      </c>
      <c r="D25" s="2" t="inlineStr">
        <is>
          <t xml:space="preserve">4 x 1200 (400 RI)</t>
        </is>
      </c>
      <c r="E25" s="2" t="inlineStr">
        <is>
          <t xml:space="preserve">10 min Leve
30 min Tempo
5 min Leve</t>
        </is>
      </c>
      <c r="F25" s="2" t="inlineStr">
        <is>
          <t xml:space="preserve">5 km em ST</t>
        </is>
      </c>
      <c r="G25" s="2" t="inlineStr">
        <is>
          <t xml:space="preserve">10 min Leve
2 x (2 min Tempo, 2 min Leve)
5 min Leve</t>
        </is>
      </c>
      <c r="H25" s="2" t="inlineStr">
        <is>
          <t xml:space="preserve">11 km em LT</t>
        </is>
      </c>
      <c r="I25" s="2" t="inlineStr">
        <is>
          <t xml:space="preserve">Descanso</t>
        </is>
      </c>
      <c r="J25">
        <v>11</v>
      </c>
      <c r="K25" t="inlineStr">
        <is>
          <t xml:space="preserve">Não</t>
        </is>
      </c>
    </row>
    <row r="26">
      <c r="A26">
        <v>22</v>
      </c>
      <c r="B26" t="inlineStr">
        <is>
          <t xml:space="preserve">Desenvolvimento</t>
        </is>
      </c>
      <c r="D26" s="2" t="inlineStr">
        <is>
          <t xml:space="preserve">5 x 1000 (400 RI)</t>
        </is>
      </c>
      <c r="E26" s="2" t="inlineStr">
        <is>
          <t xml:space="preserve">10 min Leve
20 min Tempo
10 min Leve</t>
        </is>
      </c>
      <c r="F26" s="2" t="inlineStr">
        <is>
          <t xml:space="preserve">3 km ST, 1,5 km Leve, 1,5 km ST, 1,5 km Leve, 3 km ST</t>
        </is>
      </c>
      <c r="G26" s="2" t="inlineStr">
        <is>
          <t xml:space="preserve">30 min Leve</t>
        </is>
      </c>
      <c r="H26" s="2" t="inlineStr">
        <is>
          <t xml:space="preserve">11 km em LT</t>
        </is>
      </c>
      <c r="I26" s="2" t="inlineStr">
        <is>
          <t xml:space="preserve">Descanso</t>
        </is>
      </c>
      <c r="J26">
        <v>11</v>
      </c>
      <c r="K26" t="inlineStr">
        <is>
          <t xml:space="preserve">Não</t>
        </is>
      </c>
    </row>
    <row r="27">
      <c r="A27">
        <v>23</v>
      </c>
      <c r="B27" t="inlineStr">
        <is>
          <t xml:space="preserve">Desenvolvimento</t>
        </is>
      </c>
      <c r="D27" s="2" t="inlineStr">
        <is>
          <t xml:space="preserve">3 x 1600 (400 RI)</t>
        </is>
      </c>
      <c r="E27" s="2" t="inlineStr">
        <is>
          <t xml:space="preserve">10 min Leve
20 min Tempo
10 min Leve</t>
        </is>
      </c>
      <c r="F27" s="2" t="inlineStr">
        <is>
          <t xml:space="preserve">5 km em ST</t>
        </is>
      </c>
      <c r="G27" s="2" t="inlineStr">
        <is>
          <t xml:space="preserve">30 min Leve</t>
        </is>
      </c>
      <c r="H27" s="2" t="inlineStr">
        <is>
          <t xml:space="preserve">10 km em LT</t>
        </is>
      </c>
      <c r="I27" s="2" t="inlineStr">
        <is>
          <t xml:space="preserve">Descanso</t>
        </is>
      </c>
      <c r="J27">
        <v>10</v>
      </c>
      <c r="K27" t="inlineStr">
        <is>
          <t xml:space="preserve">Não</t>
        </is>
      </c>
    </row>
    <row r="28">
      <c r="A28">
        <v>24</v>
      </c>
      <c r="B28" t="inlineStr">
        <is>
          <t xml:space="preserve">Prova 5 km</t>
        </is>
      </c>
      <c r="D28" s="2" t="inlineStr">
        <is>
          <t xml:space="preserve">6 x 400 (60 s RI)</t>
        </is>
      </c>
      <c r="E28" s="2" t="inlineStr">
        <is>
          <t xml:space="preserve">—</t>
        </is>
      </c>
      <c r="F28" s="2" t="inlineStr">
        <is>
          <t xml:space="preserve">5 km Leve (sem aquecimento nem desaquecimento)</t>
        </is>
      </c>
      <c r="G28" s="2" t="inlineStr">
        <is>
          <t xml:space="preserve">—</t>
        </is>
      </c>
      <c r="H28" s="2" t="inlineStr">
        <is>
          <t xml:space="preserve">PROVA 5 km</t>
        </is>
      </c>
      <c r="I28" s="2" t="inlineStr">
        <is>
          <t xml:space="preserve">Descanso</t>
        </is>
      </c>
      <c r="J28">
        <v>5</v>
      </c>
      <c r="K28" t="inlineStr">
        <is>
          <t xml:space="preserve">Não</t>
        </is>
      </c>
    </row>
    <row r="29">
      <c r="A29">
        <v>25</v>
      </c>
      <c r="B29" t="inlineStr">
        <is>
          <t xml:space="preserve">Construção</t>
        </is>
      </c>
      <c r="D29" s="2" t="inlineStr">
        <is>
          <t xml:space="preserve">3 x 1600 (400 RI)</t>
        </is>
      </c>
      <c r="E29" s="2" t="inlineStr">
        <is>
          <t xml:space="preserve">10 min Leve
10 min Tempo
10 min Leve</t>
        </is>
      </c>
      <c r="F29" s="2" t="inlineStr">
        <is>
          <t xml:space="preserve">3 km Leve, 3 km em ST, 3 km Leve</t>
        </is>
      </c>
      <c r="G29" s="2" t="inlineStr">
        <is>
          <t xml:space="preserve">10 min Leve
3 x (2 min Forte, 2 min Leve)
10 min Leve</t>
        </is>
      </c>
      <c r="H29" s="2" t="inlineStr">
        <is>
          <t xml:space="preserve">13 km em MP + 19</t>
        </is>
      </c>
      <c r="I29" s="2" t="inlineStr">
        <is>
          <t xml:space="preserve">Descanso</t>
        </is>
      </c>
      <c r="J29">
        <v>13</v>
      </c>
      <c r="K29" t="inlineStr">
        <is>
          <t xml:space="preserve">Não</t>
        </is>
      </c>
    </row>
    <row r="30">
      <c r="A30">
        <v>26</v>
      </c>
      <c r="B30" t="inlineStr">
        <is>
          <t xml:space="preserve">Construção</t>
        </is>
      </c>
      <c r="D30" s="2" t="inlineStr">
        <is>
          <t xml:space="preserve">4 x 800 (2 min RI)</t>
        </is>
      </c>
      <c r="E30" s="2" t="inlineStr">
        <is>
          <t xml:space="preserve">10 min Leve
10 min Tempo
2 min Leve
3 min Forte
5 min Leve</t>
        </is>
      </c>
      <c r="F30" s="2" t="inlineStr">
        <is>
          <t xml:space="preserve">1,5 km Leve, 8 km em MP, 1,5 km Leve</t>
        </is>
      </c>
      <c r="G30" s="2" t="inlineStr">
        <is>
          <t xml:space="preserve">10 min Leve
2 x (1 min Forte, 3 min Leve)
5 min Leve</t>
        </is>
      </c>
      <c r="H30" s="2" t="inlineStr">
        <is>
          <t xml:space="preserve">14 km em MP + 28</t>
        </is>
      </c>
      <c r="I30" s="2" t="inlineStr">
        <is>
          <t xml:space="preserve">Descanso</t>
        </is>
      </c>
      <c r="J30">
        <v>14</v>
      </c>
      <c r="K30" t="inlineStr">
        <is>
          <t xml:space="preserve">Não</t>
        </is>
      </c>
    </row>
    <row r="31">
      <c r="A31">
        <v>27</v>
      </c>
      <c r="B31" t="inlineStr">
        <is>
          <t xml:space="preserve">Construção</t>
        </is>
      </c>
      <c r="D31" s="2" t="inlineStr">
        <is>
          <t xml:space="preserve">1200, 1000, 800, 600, 400 (200 RI)</t>
        </is>
      </c>
      <c r="E31" s="2" t="inlineStr">
        <is>
          <t xml:space="preserve">10 min Leve
20 min Tempo
10 min Leve</t>
        </is>
      </c>
      <c r="F31" s="2" t="inlineStr">
        <is>
          <t xml:space="preserve">1,5 km Leve, 8 km em LT, 1,5 km Leve</t>
        </is>
      </c>
      <c r="G31" s="2" t="inlineStr">
        <is>
          <t xml:space="preserve">10 min Leve
5 x (1 min Forte, 1 min Leve)
10 min Leve</t>
        </is>
      </c>
      <c r="H31" s="2" t="inlineStr">
        <is>
          <t xml:space="preserve">16 km em MP + 28</t>
        </is>
      </c>
      <c r="I31" s="2" t="inlineStr">
        <is>
          <t xml:space="preserve">Descanso</t>
        </is>
      </c>
      <c r="J31">
        <v>16</v>
      </c>
      <c r="K31" t="inlineStr">
        <is>
          <t xml:space="preserve">Não</t>
        </is>
      </c>
    </row>
    <row r="32">
      <c r="A32">
        <v>28</v>
      </c>
      <c r="B32" t="inlineStr">
        <is>
          <t xml:space="preserve">Construção</t>
        </is>
      </c>
      <c r="D32" s="2" t="inlineStr">
        <is>
          <t xml:space="preserve">5 x 1000 (400 RI)</t>
        </is>
      </c>
      <c r="E32" s="2" t="inlineStr">
        <is>
          <t xml:space="preserve">10 min Leve
8 min Forte
2 min Leve
8 min Forte
10 min Leve</t>
        </is>
      </c>
      <c r="F32" s="2" t="inlineStr">
        <is>
          <t xml:space="preserve">1,5 km Leve, 7 km em MT, 1,5 km Leve</t>
        </is>
      </c>
      <c r="G32" s="2" t="inlineStr">
        <is>
          <t xml:space="preserve">30 min Leve</t>
        </is>
      </c>
      <c r="H32" s="2" t="inlineStr">
        <is>
          <t xml:space="preserve">18 km em MP + 28</t>
        </is>
      </c>
      <c r="I32" s="2" t="inlineStr">
        <is>
          <t xml:space="preserve">Descanso</t>
        </is>
      </c>
      <c r="J32">
        <v>18</v>
      </c>
      <c r="K32" t="inlineStr">
        <is>
          <t xml:space="preserve">Não</t>
        </is>
      </c>
    </row>
    <row r="33">
      <c r="A33">
        <v>29</v>
      </c>
      <c r="B33" t="inlineStr">
        <is>
          <t xml:space="preserve">Construção</t>
        </is>
      </c>
      <c r="D33" s="2" t="inlineStr">
        <is>
          <t xml:space="preserve">3 x 1600 (400 RI)</t>
        </is>
      </c>
      <c r="E33" s="2" t="inlineStr">
        <is>
          <t xml:space="preserve">10 min Leve
30 min Tempo</t>
        </is>
      </c>
      <c r="F33" s="2" t="inlineStr">
        <is>
          <t xml:space="preserve">3 km Leve, 5 km em ST, 1,5 km Leve</t>
        </is>
      </c>
      <c r="G33" s="2" t="inlineStr">
        <is>
          <t xml:space="preserve">5 min Leve
3 x (5 min Tempo, 1 min Leve)
5 min Leve</t>
        </is>
      </c>
      <c r="H33" s="2" t="inlineStr">
        <is>
          <t xml:space="preserve">19 km em MP + 28</t>
        </is>
      </c>
      <c r="I33" s="2" t="inlineStr">
        <is>
          <t xml:space="preserve">Descanso</t>
        </is>
      </c>
      <c r="J33">
        <v>19</v>
      </c>
      <c r="K33" t="inlineStr">
        <is>
          <t xml:space="preserve">Não</t>
        </is>
      </c>
    </row>
    <row r="34">
      <c r="A34">
        <v>30</v>
      </c>
      <c r="B34" t="inlineStr">
        <is>
          <t xml:space="preserve">Construção</t>
        </is>
      </c>
      <c r="D34" s="2" t="inlineStr">
        <is>
          <t xml:space="preserve">2 x 1200 (2 min RI), 4 x 800 (2 min RI)</t>
        </is>
      </c>
      <c r="E34" s="2" t="inlineStr">
        <is>
          <t xml:space="preserve">10 min Leve
15 min Tempo
5 min Leve
10 min Tempo
5 min Leve</t>
        </is>
      </c>
      <c r="F34" s="2" t="inlineStr">
        <is>
          <t xml:space="preserve">1,5 km Leve, 8 km em MT, 1,5 km Leve</t>
        </is>
      </c>
      <c r="G34" s="2" t="inlineStr">
        <is>
          <t xml:space="preserve">35 min Leve</t>
        </is>
      </c>
      <c r="H34" s="2" t="inlineStr">
        <is>
          <t xml:space="preserve">22 km em MP + 28</t>
        </is>
      </c>
      <c r="I34" s="2" t="inlineStr">
        <is>
          <t xml:space="preserve">Descanso</t>
        </is>
      </c>
      <c r="J34">
        <v>22</v>
      </c>
      <c r="K34" t="inlineStr">
        <is>
          <t xml:space="preserve">Não</t>
        </is>
      </c>
    </row>
    <row r="35">
      <c r="A35">
        <v>31</v>
      </c>
      <c r="B35" t="inlineStr">
        <is>
          <t xml:space="preserve">Construção</t>
        </is>
      </c>
      <c r="D35" s="2" t="inlineStr">
        <is>
          <t xml:space="preserve">6 x 800 (90 s RI)</t>
        </is>
      </c>
      <c r="E35" s="2" t="inlineStr">
        <is>
          <t xml:space="preserve">10 min Leve
20 min Tempo
5 min Leve
10 min Tempo
5 min Leve</t>
        </is>
      </c>
      <c r="F35" s="2" t="inlineStr">
        <is>
          <t xml:space="preserve">1,5 km Leve, 10 km em LT, 1,5 km Leve</t>
        </is>
      </c>
      <c r="G35" s="2" t="inlineStr">
        <is>
          <t xml:space="preserve">5 min Leve
1 min Forte, 1 min Leve
2 min Forte, 1 min Leve
3 min Forte, 1 min Leve
4 min Forte, 1 min Leve
3 min Forte, 1 min Leve
2 min Forte, 1 min Leve
1 min Forte, 3 min Leve</t>
        </is>
      </c>
      <c r="H35" s="2" t="inlineStr">
        <is>
          <t xml:space="preserve">16 km em MP + 9</t>
        </is>
      </c>
      <c r="I35" s="2" t="inlineStr">
        <is>
          <t xml:space="preserve">Descanso</t>
        </is>
      </c>
      <c r="J35">
        <v>16</v>
      </c>
      <c r="K35" t="inlineStr">
        <is>
          <t xml:space="preserve">Não</t>
        </is>
      </c>
    </row>
    <row r="36">
      <c r="A36">
        <v>32</v>
      </c>
      <c r="B36" t="inlineStr">
        <is>
          <t xml:space="preserve">Construção</t>
        </is>
      </c>
      <c r="D36" s="2" t="inlineStr">
        <is>
          <t xml:space="preserve">2 x (6 x 400) (90 s RI) (2 min 30 s RI between sets)</t>
        </is>
      </c>
      <c r="E36" s="2" t="inlineStr">
        <is>
          <t xml:space="preserve">10 min Leve
6 x (2 min Forte, 3 min Leve)
10 min Leve</t>
        </is>
      </c>
      <c r="F36" s="2" t="inlineStr">
        <is>
          <t xml:space="preserve">3 km Leve, 5 km em ST, 1,5 km Leve</t>
        </is>
      </c>
      <c r="G36" s="2" t="inlineStr">
        <is>
          <t xml:space="preserve">20 min Leve
10 min Tempo
10 min Leve</t>
        </is>
      </c>
      <c r="H36" s="2" t="inlineStr">
        <is>
          <t xml:space="preserve">24 km em MP + 19</t>
        </is>
      </c>
      <c r="I36" s="2" t="inlineStr">
        <is>
          <t xml:space="preserve">Descanso</t>
        </is>
      </c>
      <c r="J36">
        <v>24</v>
      </c>
      <c r="K36" t="inlineStr">
        <is>
          <t xml:space="preserve">Não</t>
        </is>
      </c>
    </row>
    <row r="37">
      <c r="A37">
        <v>33</v>
      </c>
      <c r="B37" t="inlineStr">
        <is>
          <t xml:space="preserve">Construção</t>
        </is>
      </c>
      <c r="D37" s="2" t="inlineStr">
        <is>
          <t xml:space="preserve">2 x 1600 (60 s RI), 2 x 800 (60 s RI)</t>
        </is>
      </c>
      <c r="E37" s="2" t="inlineStr">
        <is>
          <t xml:space="preserve">10 min Leve
1 min Forte, 1 min Leve
2 min Forte, 1 min Leve
3 min Forte, 1 min Leve
3 min Forte, 1 min Leve
2 min Forte, 1 min Leve
1 min Forte, 3 min Leve</t>
        </is>
      </c>
      <c r="F37" s="2" t="inlineStr">
        <is>
          <t xml:space="preserve">1,5 km Leve, 7 km em MT, 1,5 km Leve</t>
        </is>
      </c>
      <c r="G37" s="2" t="inlineStr">
        <is>
          <t xml:space="preserve">20 min Leve
5 min Tempo
15 min Leve</t>
        </is>
      </c>
      <c r="H37" s="2" t="inlineStr">
        <is>
          <t xml:space="preserve">26 km em MP + 19</t>
        </is>
      </c>
      <c r="I37" s="2" t="inlineStr">
        <is>
          <t xml:space="preserve">Descanso</t>
        </is>
      </c>
      <c r="J37">
        <v>26</v>
      </c>
      <c r="K37" t="inlineStr">
        <is>
          <t xml:space="preserve">Não</t>
        </is>
      </c>
    </row>
    <row r="38">
      <c r="A38">
        <v>34</v>
      </c>
      <c r="B38" t="inlineStr">
        <is>
          <t xml:space="preserve">Construção</t>
        </is>
      </c>
      <c r="D38" s="2" t="inlineStr">
        <is>
          <t xml:space="preserve">4 x 1200 (2 min RI)</t>
        </is>
      </c>
      <c r="E38" s="2" t="inlineStr">
        <is>
          <t xml:space="preserve">10 min Leve
15 min Tempo
5 min Leve
10 min Tempo
5 min Leve</t>
        </is>
      </c>
      <c r="F38" s="2" t="inlineStr">
        <is>
          <t xml:space="preserve">16 km em MP</t>
        </is>
      </c>
      <c r="G38" s="2" t="inlineStr">
        <is>
          <t xml:space="preserve">10 min Leve
5 x (2 min Forte, 3 min Leve)
10 min Leve</t>
        </is>
      </c>
      <c r="H38" s="2" t="inlineStr">
        <is>
          <t xml:space="preserve">19 km em MP + 12</t>
        </is>
      </c>
      <c r="I38" s="2" t="inlineStr">
        <is>
          <t xml:space="preserve">Descanso</t>
        </is>
      </c>
      <c r="J38">
        <v>19</v>
      </c>
      <c r="K38" t="inlineStr">
        <is>
          <t xml:space="preserve">Não</t>
        </is>
      </c>
    </row>
    <row r="39">
      <c r="A39">
        <v>35</v>
      </c>
      <c r="B39" t="inlineStr">
        <is>
          <t xml:space="preserve">Construção</t>
        </is>
      </c>
      <c r="D39" s="2" t="inlineStr">
        <is>
          <t xml:space="preserve">1 km, 2 km, 1 km, 1 km (400 RI)</t>
        </is>
      </c>
      <c r="E39" s="2" t="inlineStr">
        <is>
          <t xml:space="preserve">8 min Leve
7 x (1 min Forte, 2 min Leve)
8 min Leve</t>
        </is>
      </c>
      <c r="F39" s="2" t="inlineStr">
        <is>
          <t xml:space="preserve">1,5 km Leve, 8 km em MP, 1,5 km Leve</t>
        </is>
      </c>
      <c r="G39" s="2" t="inlineStr">
        <is>
          <t xml:space="preserve">15 min Leve
10 min Tempo
15 min Leve</t>
        </is>
      </c>
      <c r="H39" s="2" t="inlineStr">
        <is>
          <t xml:space="preserve">29 km em MP + 28</t>
        </is>
      </c>
      <c r="I39" s="2" t="inlineStr">
        <is>
          <t xml:space="preserve">Descanso</t>
        </is>
      </c>
      <c r="J39">
        <v>29</v>
      </c>
      <c r="K39" t="inlineStr">
        <is>
          <t xml:space="preserve">Não</t>
        </is>
      </c>
    </row>
    <row r="40">
      <c r="A40">
        <v>36</v>
      </c>
      <c r="B40" t="inlineStr">
        <is>
          <t xml:space="preserve">Construção</t>
        </is>
      </c>
      <c r="D40" s="2" t="inlineStr">
        <is>
          <t xml:space="preserve">3 x 1600 (400 RI)</t>
        </is>
      </c>
      <c r="E40" s="2" t="inlineStr">
        <is>
          <t xml:space="preserve">5 min Leve
15 min Tempo
5 min Leve
10 min Tempo
10 min Leve</t>
        </is>
      </c>
      <c r="F40" s="2" t="inlineStr">
        <is>
          <t xml:space="preserve">16 km em MP</t>
        </is>
      </c>
      <c r="G40" s="2" t="inlineStr">
        <is>
          <t xml:space="preserve">10 min Leve
8 x (1 min Forte, 4 min Leve)
5 min Leve</t>
        </is>
      </c>
      <c r="H40" s="2" t="inlineStr">
        <is>
          <t xml:space="preserve">21 km em MP + 9</t>
        </is>
      </c>
      <c r="I40" s="2" t="inlineStr">
        <is>
          <t xml:space="preserve">Descanso</t>
        </is>
      </c>
      <c r="J40">
        <v>21</v>
      </c>
      <c r="K40" t="inlineStr">
        <is>
          <t xml:space="preserve">Não</t>
        </is>
      </c>
    </row>
    <row r="41">
      <c r="A41">
        <v>37</v>
      </c>
      <c r="B41" t="inlineStr">
        <is>
          <t xml:space="preserve">Pico</t>
        </is>
      </c>
      <c r="D41" s="2" t="inlineStr">
        <is>
          <t xml:space="preserve">10 x 400 (400 RI)</t>
        </is>
      </c>
      <c r="E41" s="2" t="inlineStr">
        <is>
          <t xml:space="preserve">10 min Leve
20 min Tempo
10 min Leve</t>
        </is>
      </c>
      <c r="F41" s="2" t="inlineStr">
        <is>
          <t xml:space="preserve">Aquecimento 10 min, 13 km em MP, Desaquecimento 10 min</t>
        </is>
      </c>
      <c r="G41" s="2" t="inlineStr">
        <is>
          <t xml:space="preserve">20 min Leve
5 min Tempo
15 min Leve</t>
        </is>
      </c>
      <c r="H41" s="2" t="inlineStr">
        <is>
          <t xml:space="preserve">32 km em MP + 19</t>
        </is>
      </c>
      <c r="I41" s="2" t="inlineStr">
        <is>
          <t xml:space="preserve">Descanso</t>
        </is>
      </c>
      <c r="J41">
        <v>32</v>
      </c>
      <c r="K41" t="inlineStr">
        <is>
          <t xml:space="preserve">Não</t>
        </is>
      </c>
    </row>
    <row r="42">
      <c r="A42">
        <v>38</v>
      </c>
      <c r="B42" t="inlineStr">
        <is>
          <t xml:space="preserve">Polimento</t>
        </is>
      </c>
      <c r="D42" s="2" t="inlineStr">
        <is>
          <t xml:space="preserve">8 x 800 (90 s RI)</t>
        </is>
      </c>
      <c r="E42" s="2" t="inlineStr">
        <is>
          <t xml:space="preserve">10 min Leve
30 min Tempo
5 min Leve</t>
        </is>
      </c>
      <c r="F42" s="2" t="inlineStr">
        <is>
          <t xml:space="preserve">1,5 km Leve, 8 km em MT, 1,5 km Leve</t>
        </is>
      </c>
      <c r="G42" s="2" t="inlineStr">
        <is>
          <t xml:space="preserve">10 min Leve
3 x (2 min Forte, 3 min Leve)
10 min Leve</t>
        </is>
      </c>
      <c r="H42" s="2" t="inlineStr">
        <is>
          <t xml:space="preserve">21 km em MP</t>
        </is>
      </c>
      <c r="I42" s="2" t="inlineStr">
        <is>
          <t xml:space="preserve">Descanso</t>
        </is>
      </c>
      <c r="J42">
        <v>21</v>
      </c>
      <c r="K42" t="inlineStr">
        <is>
          <t xml:space="preserve">Não</t>
        </is>
      </c>
    </row>
    <row r="43">
      <c r="A43">
        <v>39</v>
      </c>
      <c r="B43" t="inlineStr">
        <is>
          <t xml:space="preserve">Polimento</t>
        </is>
      </c>
      <c r="D43" s="2" t="inlineStr">
        <is>
          <t xml:space="preserve">5 x 1000 (400 RI)</t>
        </is>
      </c>
      <c r="E43" s="2" t="inlineStr">
        <is>
          <t xml:space="preserve">15 min Leve
15 min Tempo
5 min Forte
10 min Leve</t>
        </is>
      </c>
      <c r="F43" s="2" t="inlineStr">
        <is>
          <t xml:space="preserve">3 km Leve, 5 km em ST, 1,5 km Leve</t>
        </is>
      </c>
      <c r="G43" s="2" t="inlineStr">
        <is>
          <t xml:space="preserve">10 min Leve
3 x (2 min Tempo, 2 min Leve)
10 min Leve</t>
        </is>
      </c>
      <c r="H43" s="2" t="inlineStr">
        <is>
          <t xml:space="preserve">13 km em MP</t>
        </is>
      </c>
      <c r="I43" s="2" t="inlineStr">
        <is>
          <t xml:space="preserve">Descanso</t>
        </is>
      </c>
      <c r="J43">
        <v>13</v>
      </c>
      <c r="K43" t="inlineStr">
        <is>
          <t xml:space="preserve">Não</t>
        </is>
      </c>
    </row>
    <row r="44">
      <c r="A44">
        <v>40</v>
      </c>
      <c r="B44" t="inlineStr">
        <is>
          <t xml:space="preserve">Semana da maratona</t>
        </is>
      </c>
      <c r="D44" s="2" t="inlineStr">
        <is>
          <t xml:space="preserve">6 x 400 (400 RI)</t>
        </is>
      </c>
      <c r="E44" s="2" t="inlineStr">
        <is>
          <t xml:space="preserve">—</t>
        </is>
      </c>
      <c r="F44" s="2" t="inlineStr">
        <is>
          <t xml:space="preserve">Aquecimento 10 min, 5K em MP, Desaquecimento 10 min</t>
        </is>
      </c>
      <c r="G44" s="2" t="inlineStr">
        <is>
          <t xml:space="preserve">—</t>
        </is>
      </c>
      <c r="H44" s="2" t="inlineStr">
        <is>
          <t xml:space="preserve">42,2 km em MP</t>
        </is>
      </c>
      <c r="I44" s="2" t="inlineStr">
        <is>
          <t xml:space="preserve">Descanso</t>
        </is>
      </c>
      <c r="J44">
        <v>42.2</v>
      </c>
      <c r="K44" t="inlineStr">
        <is>
          <t xml:space="preserve">Não</t>
        </is>
      </c>
    </row>
  </sheetData>
</worksheet>
</file>

<file path=xl/worksheets/sheet2.xml><?xml version="1.0" encoding="utf-8"?>
<worksheet xmlns="http://schemas.openxmlformats.org/spreadsheetml/2006/main">
  <sheetViews>
    <sheetView showGridLines="false" workbookViewId="0">
      <pane ySplit="4" topLeftCell="A5" activePane="bottomLeft" state="frozen"/>
    </sheetView>
  </sheetViews>
  <sheetFormatPr defaultRowHeight="15"/>
  <cols>
    <col min="1" max="1" width="12" customWidth="true"/>
    <col min="2" max="2" width="14" customWidth="true"/>
    <col min="3" max="3" width="24" customWidth="true"/>
    <col min="4" max="4" width="14" customWidth="true"/>
  </cols>
  <sheetData>
    <row r="1">
      <c r="A1" s="3" t="inlineStr">
        <is>
          <t xml:space="preserve">ROTINA DA SEMANA</t>
        </is>
      </c>
    </row>
    <row r="2">
      <c r="A2" s="4" t="inlineStr">
        <is>
          <t xml:space="preserve">A aba Plano é o plano de corrida. Aqui fica o que ele não sabe: em que modalidade cada treino é cumprido e em que dias tem musculação. O app lê desta aba.</t>
        </is>
      </c>
    </row>
    <row r="4">
      <c r="A4" s="1" t="inlineStr">
        <is>
          <t xml:space="preserve">Dia</t>
        </is>
      </c>
      <c r="B4" s="1" t="inlineStr">
        <is>
          <t xml:space="preserve">Musculação</t>
        </is>
      </c>
      <c r="C4" s="1" t="inlineStr">
        <is>
          <t xml:space="preserve">Modalidade do cardio</t>
        </is>
      </c>
      <c r="D4" s="1" t="inlineStr">
        <is>
          <t xml:space="preserve">Mostrar pace</t>
        </is>
      </c>
    </row>
    <row r="5">
      <c r="A5" t="inlineStr">
        <is>
          <t xml:space="preserve">Segunda</t>
        </is>
      </c>
      <c r="B5" t="inlineStr">
        <is>
          <t xml:space="preserve">Sim</t>
        </is>
      </c>
      <c r="C5" t="inlineStr">
        <is>
          <t xml:space="preserve">—</t>
        </is>
      </c>
      <c r="D5" t="inlineStr">
        <is>
          <t xml:space="preserve">Não</t>
        </is>
      </c>
    </row>
    <row r="6">
      <c r="A6" t="inlineStr">
        <is>
          <t xml:space="preserve">Terça</t>
        </is>
      </c>
      <c r="B6" t="inlineStr">
        <is>
          <t xml:space="preserve">Não</t>
        </is>
      </c>
      <c r="C6" t="inlineStr">
        <is>
          <t xml:space="preserve">Corrida · rua</t>
        </is>
      </c>
      <c r="D6" t="inlineStr">
        <is>
          <t xml:space="preserve">Sim</t>
        </is>
      </c>
    </row>
    <row r="7">
      <c r="A7" t="inlineStr">
        <is>
          <t xml:space="preserve">Quarta</t>
        </is>
      </c>
      <c r="B7" t="inlineStr">
        <is>
          <t xml:space="preserve">Sim</t>
        </is>
      </c>
      <c r="C7" t="inlineStr">
        <is>
          <t xml:space="preserve">Bicicleta</t>
        </is>
      </c>
      <c r="D7" t="inlineStr">
        <is>
          <t xml:space="preserve">Não</t>
        </is>
      </c>
    </row>
    <row r="8">
      <c r="A8" t="inlineStr">
        <is>
          <t xml:space="preserve">Quinta</t>
        </is>
      </c>
      <c r="B8" t="inlineStr">
        <is>
          <t xml:space="preserve">Sim</t>
        </is>
      </c>
      <c r="C8" t="inlineStr">
        <is>
          <t xml:space="preserve">Corrida · esteira</t>
        </is>
      </c>
      <c r="D8" t="inlineStr">
        <is>
          <t xml:space="preserve">Sim</t>
        </is>
      </c>
    </row>
    <row r="9">
      <c r="A9" t="inlineStr">
        <is>
          <t xml:space="preserve">Sexta</t>
        </is>
      </c>
      <c r="B9" t="inlineStr">
        <is>
          <t xml:space="preserve">Sim</t>
        </is>
      </c>
      <c r="C9" t="inlineStr">
        <is>
          <t xml:space="preserve">Bicicleta</t>
        </is>
      </c>
      <c r="D9" t="inlineStr">
        <is>
          <t xml:space="preserve">Não</t>
        </is>
      </c>
    </row>
    <row r="10">
      <c r="A10" t="inlineStr">
        <is>
          <t xml:space="preserve">Sábado</t>
        </is>
      </c>
      <c r="B10" t="inlineStr">
        <is>
          <t xml:space="preserve">Não</t>
        </is>
      </c>
      <c r="C10" t="inlineStr">
        <is>
          <t xml:space="preserve">Corrida · longão</t>
        </is>
      </c>
      <c r="D10" t="inlineStr">
        <is>
          <t xml:space="preserve">Sim</t>
        </is>
      </c>
    </row>
    <row r="11">
      <c r="A11" t="inlineStr">
        <is>
          <t xml:space="preserve">Domingo</t>
        </is>
      </c>
      <c r="B11" t="inlineStr">
        <is>
          <t xml:space="preserve">Não</t>
        </is>
      </c>
      <c r="C11" t="inlineStr">
        <is>
          <t xml:space="preserve">—</t>
        </is>
      </c>
      <c r="D11" t="inlineStr">
        <is>
          <t xml:space="preserve">Não</t>
        </is>
      </c>
    </row>
    <row r="13">
      <c r="A13" s="4" t="inlineStr">
        <is>
          <t xml:space="preserve">Modalidade vazia ou "—" é dia sem cardio. Mostrar pace = Não na bicicleta: o treino é escrito em termos de corrida, e min/km na bike não corresponde a nada. A ordem dos dias e os nomes da coluna Dia não podem mudar — o gerador confere.</t>
        </is>
      </c>
    </row>
  </sheetData>
</worksheet>
</file>

<file path=xl/worksheets/sheet3.xml><?xml version="1.0" encoding="utf-8"?>
<worksheet xmlns="http://schemas.openxmlformats.org/spreadsheetml/2006/main">
  <sheetViews>
    <sheetView showGridLines="false" workbookViewId="0">
      <pane ySplit="4" topLeftCell="A5" activePane="bottomLeft" state="frozen"/>
    </sheetView>
  </sheetViews>
  <sheetFormatPr defaultRowHeight="15"/>
  <cols>
    <col min="1" max="1" width="28" customWidth="true"/>
    <col min="2" max="2" width="16" customWidth="true"/>
    <col min="3" max="3" width="16" customWidth="true"/>
    <col min="4" max="4" width="14" customWidth="true"/>
  </cols>
  <sheetData>
    <row r="1">
      <c r="A1" s="3" t="inlineStr">
        <is>
          <t xml:space="preserve">RITMOS-ALVO</t>
        </is>
      </c>
    </row>
    <row r="2">
      <c r="A2" s="4" t="inlineStr">
        <is>
          <t xml:space="preserve">Preencha só a célula amarela. Todo o resto é calculado a partir dela. Os valores em segundos são o que o app lê; as colunas de pace existem para leitura.</t>
        </is>
      </c>
    </row>
    <row r="4">
      <c r="A4" s="1" t="inlineStr">
        <is>
          <t xml:space="preserve">Tempo nos 5 km (segundos)</t>
        </is>
      </c>
      <c r="B4" s="5">
        <v>1800</v>
      </c>
      <c r="C4" t="str">
        <f>TEXT(B4/86400,"m:ss")</f>
        <v>30:00</v>
      </c>
    </row>
    <row r="6">
      <c r="A6" t="inlineStr">
        <is>
          <t xml:space="preserve">Pace de 5 km (s/km)</t>
        </is>
      </c>
      <c r="B6">
        <f>$B$4/5</f>
        <v>360</v>
      </c>
      <c r="C6" t="str">
        <f>TEXT(B6/86400,"m:ss")</f>
        <v>6:00</v>
      </c>
    </row>
    <row r="8">
      <c r="A8" s="1" t="inlineStr">
        <is>
          <t xml:space="preserve">Tiros (distância)</t>
        </is>
      </c>
      <c r="B8" s="1" t="inlineStr">
        <is>
          <t xml:space="preserve">Ajuste (s)</t>
        </is>
      </c>
      <c r="C8" s="1" t="inlineStr">
        <is>
          <t xml:space="preserve">Tempo do tiro</t>
        </is>
      </c>
      <c r="D8" s="1" t="inlineStr">
        <is>
          <t xml:space="preserve">Pace</t>
        </is>
      </c>
    </row>
    <row r="9">
      <c r="A9" t="inlineStr">
        <is>
          <t xml:space="preserve">400 m</t>
        </is>
      </c>
      <c r="B9">
        <v>-9</v>
      </c>
      <c r="C9" t="str">
        <f>TEXT(($B$4/5*0.4+B9)/86400,"m:ss")</f>
        <v>2:15</v>
      </c>
      <c r="D9" t="str">
        <f>TEXT(($B$4/5*0.4+B9)/0.4/86400,"m:ss")</f>
        <v>5:38</v>
      </c>
    </row>
    <row r="10">
      <c r="A10" t="inlineStr">
        <is>
          <t xml:space="preserve">600 m</t>
        </is>
      </c>
      <c r="B10">
        <v>-12</v>
      </c>
      <c r="C10" t="str">
        <f>TEXT(($B$4/5*0.6+B10)/86400,"m:ss")</f>
        <v>3:24</v>
      </c>
      <c r="D10" t="str">
        <f>TEXT(($B$4/5*0.6+B10)/0.6/86400,"m:ss")</f>
        <v>5:40</v>
      </c>
    </row>
    <row r="11">
      <c r="A11" t="inlineStr">
        <is>
          <t xml:space="preserve">800 m</t>
        </is>
      </c>
      <c r="B11">
        <v>-14</v>
      </c>
      <c r="C11" t="str">
        <f>TEXT(($B$4/5*0.8+B11)/86400,"m:ss")</f>
        <v>4:34</v>
      </c>
      <c r="D11" t="str">
        <f>TEXT(($B$4/5*0.8+B11)/0.8/86400,"m:ss")</f>
        <v>5:43</v>
      </c>
    </row>
    <row r="12">
      <c r="A12" t="inlineStr">
        <is>
          <t xml:space="preserve">1000 m</t>
        </is>
      </c>
      <c r="B12">
        <v>-16</v>
      </c>
      <c r="C12" t="str">
        <f>TEXT(($B$4/5*1+B12)/86400,"m:ss")</f>
        <v>5:44</v>
      </c>
      <c r="D12" t="str">
        <f>TEXT(($B$4/5*1+B12)/1/86400,"m:ss")</f>
        <v>5:44</v>
      </c>
    </row>
    <row r="13">
      <c r="A13" t="inlineStr">
        <is>
          <t xml:space="preserve">1200 m</t>
        </is>
      </c>
      <c r="B13">
        <v>-16</v>
      </c>
      <c r="C13" t="str">
        <f>TEXT(($B$4/5*1.2+B13)/86400,"m:ss")</f>
        <v>6:56</v>
      </c>
      <c r="D13" t="str">
        <f>TEXT(($B$4/5*1.2+B13)/1.2/86400,"m:ss")</f>
        <v>5:47</v>
      </c>
    </row>
    <row r="14">
      <c r="A14" t="inlineStr">
        <is>
          <t xml:space="preserve">1600 m</t>
        </is>
      </c>
      <c r="B14">
        <v>-13</v>
      </c>
      <c r="C14" t="str">
        <f>TEXT(($B$4/5*1.6+B14)/86400,"m:ss")</f>
        <v>9:23</v>
      </c>
      <c r="D14" t="str">
        <f>TEXT(($B$4/5*1.6+B14)/1.6/86400,"m:ss")</f>
        <v>5:52</v>
      </c>
    </row>
    <row r="15">
      <c r="A15" t="inlineStr">
        <is>
          <t xml:space="preserve">2000 m</t>
        </is>
      </c>
      <c r="B15">
        <v>-11</v>
      </c>
      <c r="C15" t="str">
        <f>TEXT(($B$4/5*2+B15)/86400,"m:ss")</f>
        <v>11:49</v>
      </c>
      <c r="D15" t="str">
        <f>TEXT(($B$4/5*2+B15)/2/86400,"m:ss")</f>
        <v>5:55</v>
      </c>
    </row>
    <row r="17">
      <c r="A17" s="4" t="inlineStr">
        <is>
          <t xml:space="preserve">Tempo do tiro = pace de 5 km x distância + ajuste, em segundos. Os ajustes negativos vêm do plano original e deixam os tiros mais rápidos que o pace de 5 km.</t>
        </is>
      </c>
    </row>
    <row r="19">
      <c r="A19" s="1" t="inlineStr">
        <is>
          <t xml:space="preserve">Ritmo</t>
        </is>
      </c>
      <c r="B19" s="1" t="inlineStr">
        <is>
          <t xml:space="preserve">Ajuste (s/km)</t>
        </is>
      </c>
      <c r="C19" s="1" t="inlineStr">
        <is>
          <t xml:space="preserve">Pace (s/km)</t>
        </is>
      </c>
      <c r="D19" s="1" t="inlineStr">
        <is>
          <t xml:space="preserve">Pace</t>
        </is>
      </c>
    </row>
    <row r="20">
      <c r="A20" t="inlineStr">
        <is>
          <t xml:space="preserve">Short Tempo (ST)</t>
        </is>
      </c>
      <c r="B20">
        <v>10</v>
      </c>
      <c r="C20">
        <f>$B$4/5+B20</f>
        <v>370</v>
      </c>
      <c r="D20" t="str">
        <f>TEXT(C20/86400,"m:ss")</f>
        <v>6:10</v>
      </c>
    </row>
    <row r="21">
      <c r="A21" t="inlineStr">
        <is>
          <t xml:space="preserve">Mid Tempo (MT)</t>
        </is>
      </c>
      <c r="B21">
        <v>10</v>
      </c>
      <c r="C21">
        <f>C20+B21</f>
        <v>380</v>
      </c>
      <c r="D21" t="str">
        <f>TEXT(C21/86400,"m:ss")</f>
        <v>6:20</v>
      </c>
    </row>
    <row r="22">
      <c r="A22" t="inlineStr">
        <is>
          <t xml:space="preserve">Long Tempo (LT)</t>
        </is>
      </c>
      <c r="B22">
        <v>9</v>
      </c>
      <c r="C22">
        <f>C21+B22</f>
        <v>389</v>
      </c>
      <c r="D22" t="str">
        <f>TEXT(C22/86400,"m:ss")</f>
        <v>6:29</v>
      </c>
    </row>
    <row r="23">
      <c r="A23" t="inlineStr">
        <is>
          <t xml:space="preserve">Marathon Pace (MP)</t>
        </is>
      </c>
      <c r="B23">
        <v>23</v>
      </c>
      <c r="C23">
        <f>C22+B23</f>
        <v>412</v>
      </c>
      <c r="D23" t="str">
        <f>TEXT(C23/86400,"m:ss")</f>
        <v>6:52</v>
      </c>
    </row>
    <row r="24">
      <c r="A24" t="inlineStr">
        <is>
          <t xml:space="preserve">Half Marathon Pace (HMP)</t>
        </is>
      </c>
      <c r="B24">
        <v>4</v>
      </c>
      <c r="C24">
        <f>C22+B24</f>
        <v>393</v>
      </c>
      <c r="D24" t="str">
        <f>TEXT(C24/86400,"m:ss")</f>
        <v>6:33</v>
      </c>
    </row>
    <row r="26">
      <c r="A26" s="4" t="inlineStr">
        <is>
          <t xml:space="preserve">Cada ritmo parte do anterior: ST = pace de 5 km + 10 s · MT = ST + 10 s · LT = MT + 9 s · MP = LT + 23 s · HMP = LT + 4 s.</t>
        </is>
      </c>
    </row>
    <row r="28">
      <c r="A28" s="1" t="inlineStr">
        <is>
          <t xml:space="preserve">Prova</t>
        </is>
      </c>
      <c r="B28" s="1" t="inlineStr">
        <is>
          <t xml:space="preserve">Distância (km)</t>
        </is>
      </c>
      <c r="C28" s="1" t="inlineStr">
        <is>
          <t xml:space="preserve">Pace usado</t>
        </is>
      </c>
      <c r="D28" s="1" t="inlineStr">
        <is>
          <t xml:space="preserve">Tempo previsto</t>
        </is>
      </c>
    </row>
    <row r="29">
      <c r="A29" t="inlineStr">
        <is>
          <t xml:space="preserve">5 km</t>
        </is>
      </c>
      <c r="B29">
        <v>5</v>
      </c>
      <c r="C29" t="inlineStr">
        <is>
          <t xml:space="preserve">pace de 5 km</t>
        </is>
      </c>
      <c r="D29" t="str">
        <f>TEXT($B$4/5*B29/86400,"[h]:mm:ss")</f>
        <v>0:30:00</v>
      </c>
    </row>
    <row r="30">
      <c r="A30" t="inlineStr">
        <is>
          <t xml:space="preserve">10 km</t>
        </is>
      </c>
      <c r="B30">
        <v>10</v>
      </c>
      <c r="C30" t="inlineStr">
        <is>
          <t xml:space="preserve">ST</t>
        </is>
      </c>
      <c r="D30" t="str">
        <f>TEXT($C$20*B30/86400,"[h]:mm:ss")</f>
        <v>1:01:40</v>
      </c>
    </row>
    <row r="31">
      <c r="A31" t="inlineStr">
        <is>
          <t xml:space="preserve">Meia maratona</t>
        </is>
      </c>
      <c r="B31">
        <v>21.0975</v>
      </c>
      <c r="C31" t="inlineStr">
        <is>
          <t xml:space="preserve">HMP</t>
        </is>
      </c>
      <c r="D31" t="str">
        <f>TEXT($C$24*B31/86400,"[h]:mm:ss")</f>
        <v>2:18:11</v>
      </c>
    </row>
    <row r="32">
      <c r="A32" t="inlineStr">
        <is>
          <t xml:space="preserve">Maratona</t>
        </is>
      </c>
      <c r="B32">
        <v>42.195</v>
      </c>
      <c r="C32" t="inlineStr">
        <is>
          <t xml:space="preserve">MP</t>
        </is>
      </c>
      <c r="D32" t="str">
        <f>TEXT($C$23*B32/86400,"[h]:mm:ss")</f>
        <v>4:49:44</v>
      </c>
    </row>
    <row r="34">
      <c r="A34" s="4" t="inlineStr">
        <is>
          <t xml:space="preserve">Estimativas derivadas dos próprios ritmos-alvo acima — referência, não previsão de desempenho.</t>
        </is>
      </c>
    </row>
  </sheetData>
</worksheet>
</file>

<file path=xl/worksheets/sheet4.xml><?xml version="1.0" encoding="utf-8"?>
<worksheet xmlns="http://schemas.openxmlformats.org/spreadsheetml/2006/main">
  <sheetViews>
    <sheetView showGridLines="false" workbookViewId="0">
      <pane ySplit="4" topLeftCell="A5" activePane="bottomLeft" state="frozen"/>
    </sheetView>
  </sheetViews>
  <sheetFormatPr defaultRowHeight="15"/>
  <cols>
    <col min="1" max="1" width="26" customWidth="true"/>
    <col min="2" max="2" width="80" customWidth="true"/>
  </cols>
  <sheetData>
    <row r="1">
      <c r="A1" s="3" t="inlineStr">
        <is>
          <t xml:space="preserve">GLOSSÁRIO</t>
        </is>
      </c>
    </row>
    <row r="3">
      <c r="A3" s="1" t="inlineStr">
        <is>
          <t xml:space="preserve">Sigla / termo</t>
        </is>
      </c>
      <c r="B3" s="1" t="inlineStr">
        <is>
          <t xml:space="preserve">Significado</t>
        </is>
      </c>
    </row>
    <row r="4">
      <c r="A4" t="inlineStr">
        <is>
          <t xml:space="preserve">Leve</t>
        </is>
      </c>
      <c r="B4" s="2" t="inlineStr">
        <is>
          <t xml:space="preserve">Ritmo confortável, dá para conversar. Mais lento que o pace de 5 km.</t>
        </is>
      </c>
    </row>
    <row r="5">
      <c r="A5" t="inlineStr">
        <is>
          <t xml:space="preserve">Tempo</t>
        </is>
      </c>
      <c r="B5" s="2" t="inlineStr">
        <is>
          <t xml:space="preserve">Esforço controlado e sustentado, na faixa ST–LT da aba Ritmos.</t>
        </is>
      </c>
    </row>
    <row r="6">
      <c r="A6" t="inlineStr">
        <is>
          <t xml:space="preserve">Forte</t>
        </is>
      </c>
      <c r="B6" s="2" t="inlineStr">
        <is>
          <t xml:space="preserve">Trecho curto e intenso, acima do ritmo de prova.</t>
        </is>
      </c>
    </row>
    <row r="7">
      <c r="A7" t="inlineStr">
        <is>
          <t xml:space="preserve">RI</t>
        </is>
      </c>
      <c r="B7" s="2" t="inlineStr">
        <is>
          <t xml:space="preserve">Intervalo de recuperação entre os tiros (trote leve ou caminhada).</t>
        </is>
      </c>
    </row>
    <row r="8">
      <c r="A8" t="inlineStr">
        <is>
          <t xml:space="preserve">ST</t>
        </is>
      </c>
      <c r="B8" s="2" t="inlineStr">
        <is>
          <t xml:space="preserve">Short Tempo — ritmo de tempo curto.</t>
        </is>
      </c>
    </row>
    <row r="9">
      <c r="A9" t="inlineStr">
        <is>
          <t xml:space="preserve">MT</t>
        </is>
      </c>
      <c r="B9" s="2" t="inlineStr">
        <is>
          <t xml:space="preserve">Mid Tempo — ritmo de tempo médio.</t>
        </is>
      </c>
    </row>
    <row r="10">
      <c r="A10" t="inlineStr">
        <is>
          <t xml:space="preserve">LT</t>
        </is>
      </c>
      <c r="B10" s="2" t="inlineStr">
        <is>
          <t xml:space="preserve">Long Tempo — ritmo de tempo longo.</t>
        </is>
      </c>
    </row>
    <row r="11">
      <c r="A11" t="inlineStr">
        <is>
          <t xml:space="preserve">MP</t>
        </is>
      </c>
      <c r="B11" s="2" t="inlineStr">
        <is>
          <t xml:space="preserve">Marathon Pace — ritmo-alvo de maratona.</t>
        </is>
      </c>
    </row>
    <row r="12">
      <c r="A12" t="inlineStr">
        <is>
          <t xml:space="preserve">HMP</t>
        </is>
      </c>
      <c r="B12" s="2" t="inlineStr">
        <is>
          <t xml:space="preserve">Half Marathon Pace — ritmo-alvo de meia maratona.</t>
        </is>
      </c>
    </row>
    <row r="13">
      <c r="A13" t="inlineStr">
        <is>
          <t xml:space="preserve">MP + 9 / + 19 / + 28</t>
        </is>
      </c>
      <c r="B13" s="2" t="inlineStr">
        <is>
          <t xml:space="preserve">MP acrescido desses segundos por km — longão mais lento que o ritmo de prova.</t>
        </is>
      </c>
    </row>
    <row r="14">
      <c r="A14" t="inlineStr">
        <is>
          <t xml:space="preserve">W: / R:</t>
        </is>
      </c>
      <c r="B14" s="2" t="inlineStr">
        <is>
          <t xml:space="preserve">Notação das semanas 1 a 3. Interpretação: W = caminhada, R = corrida (ex.: "W:10min R:3K W:5min"). Confirme com a fonte original do plano.</t>
        </is>
      </c>
    </row>
    <row r="15">
      <c r="A15" t="inlineStr">
        <is>
          <t xml:space="preserve">Aquecimento / Desaquecimento</t>
        </is>
      </c>
      <c r="B15" s="2" t="inlineStr">
        <is>
          <t xml:space="preserve">Trote leve antes e depois da parte principal do treino.</t>
        </is>
      </c>
    </row>
  </sheetData>
</worksheet>
</file>

<file path=xl/worksheets/sheet5.xml><?xml version="1.0" encoding="utf-8"?>
<worksheet xmlns="http://schemas.openxmlformats.org/spreadsheetml/2006/main">
  <sheetViews>
    <sheetView showGridLines="false" workbookViewId="0">
      <pane ySplit="4" topLeftCell="A5" activePane="bottomLeft" state="frozen"/>
    </sheetView>
  </sheetViews>
  <sheetFormatPr defaultRowHeight="15"/>
  <cols>
    <col min="1" max="1" width="10" customWidth="true"/>
    <col min="2" max="2" width="8" customWidth="true"/>
    <col min="3" max="3" width="10" customWidth="true"/>
    <col min="4" max="4" width="26" customWidth="true"/>
  </cols>
  <sheetData>
    <row r="1">
      <c r="A1" s="1" t="inlineStr">
        <is>
          <t xml:space="preserve">semana</t>
        </is>
      </c>
      <c r="B1" s="1" t="inlineStr">
        <is>
          <t xml:space="preserve">dia</t>
        </is>
      </c>
      <c r="C1" s="1" t="inlineStr">
        <is>
          <t xml:space="preserve">tipo</t>
        </is>
      </c>
      <c r="D1" s="1" t="inlineStr">
        <is>
          <t xml:space="preserve">quando</t>
        </is>
      </c>
      <c r="F1" s="4" t="inlineStr">
        <is>
          <t xml:space="preserve">Escrita pelo app. dia: 0 = segunda … 6 = domingo. tipo: cardio ou musc. Não edite à mão.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Treinos</dc:title>
  <dcterms:created xsi:type="dcterms:W3CDTF">2026-09-01T15:03:29.038Z</dcterms:created>
</cp:coreProperties>
</file>